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s" sheetId="1" state="visible" r:id="rId3"/>
    <sheet name="Assumptions" sheetId="2" state="visible" r:id="rId4"/>
    <sheet name="Bar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<sst xmlns="http://schemas.openxmlformats.org/spreadsheetml/2006/main" count="63" uniqueCount="42">
  <si>
    <t xml:space="preserve">Part</t>
  </si>
  <si>
    <t xml:space="preserve">Qty</t>
  </si>
  <si>
    <t xml:space="preserve">Length (in)</t>
  </si>
  <si>
    <t xml:space="preserve">Total (in)</t>
  </si>
  <si>
    <t xml:space="preserve">Used for</t>
  </si>
  <si>
    <t xml:space="preserve">In plan</t>
  </si>
  <si>
    <t xml:space="preserve">Check</t>
  </si>
  <si>
    <t xml:space="preserve">Front column</t>
  </si>
  <si>
    <t xml:space="preserve">Front columns; full height, plain square cuts, open top under plywood</t>
  </si>
  <si>
    <t xml:space="preserve">Rear column</t>
  </si>
  <si>
    <t xml:space="preserve">Rear columns; sit on bottom side rails, open top under plywood</t>
  </si>
  <si>
    <t xml:space="preserve">Rail 23</t>
  </si>
  <si>
    <t xml:space="preserve">Front and rear top, front and rear mid, front and rear bottom, back cross rail (26 - 2 x 1-1/2)</t>
  </si>
  <si>
    <t xml:space="preserve">Bottom side rail</t>
  </si>
  <si>
    <t xml:space="preserve">Front column inner face to rear end; end cap covers hole</t>
  </si>
  <si>
    <t xml:space="preserve">Side rail 21</t>
  </si>
  <si>
    <t xml:space="preserve">Top side rails (2) and mid side rails (2)</t>
  </si>
  <si>
    <t xml:space="preserve">Total</t>
  </si>
  <si>
    <t xml:space="preserve">Lengths are cut lengths for the 26" wide x 24" deep (outside) frame with 8" tank shelf, 16" clear openings above 3/4" plywood, 1-1/2" tube. All lengths shown to the nearest 1/16".</t>
  </si>
  <si>
    <t xml:space="preserve">Welding cart - 10 ft bar stock cut plan</t>
  </si>
  <si>
    <t xml:space="preserve">Blue cells are inputs; everything else recalculates.</t>
  </si>
  <si>
    <t xml:space="preserve">Stock bar length (in)</t>
  </si>
  <si>
    <t xml:space="preserve">10 ft bar stock</t>
  </si>
  <si>
    <t xml:space="preserve">Saw kerf (in)</t>
  </si>
  <si>
    <t xml:space="preserve">Assumed 1/8" blade; change to match your saw</t>
  </si>
  <si>
    <t xml:space="preserve">End-squaring reserve per bar (in)</t>
  </si>
  <si>
    <t xml:space="preserve">Held back for squaring the rough bar ends</t>
  </si>
  <si>
    <t xml:space="preserve">Tube</t>
  </si>
  <si>
    <t xml:space="preserve">1-1/2" x 1-1/2" x 11 ga</t>
  </si>
  <si>
    <t xml:space="preserve">Casters (4) are not cut from bar stock and are not in this plan.</t>
  </si>
  <si>
    <t xml:space="preserve">Bar</t>
  </si>
  <si>
    <t xml:space="preserve">Cut order</t>
  </si>
  <si>
    <t xml:space="preserve">Pieces</t>
  </si>
  <si>
    <t xml:space="preserve">Material (in)</t>
  </si>
  <si>
    <t xml:space="preserve">Kerf (in)</t>
  </si>
  <si>
    <t xml:space="preserve">Used (in)</t>
  </si>
  <si>
    <t xml:space="preserve">Drop (in)</t>
  </si>
  <si>
    <t xml:space="preserve">Drop after reserve (in)</t>
  </si>
  <si>
    <t xml:space="preserve">Status</t>
  </si>
  <si>
    <t xml:space="preserve">Bars to buy</t>
  </si>
  <si>
    <t xml:space="preserve">Utilization</t>
  </si>
  <si>
    <t xml:space="preserve">Cut each bar longest to shortest. Bar 2 is the tight one (1-1/8" drop before the squaring reserve).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</si>
</sst>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 ??/??\&quot;"/>
    <numFmt numFmtId="166" formatCode="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70"/>
    <col collapsed="false" customWidth="true" hidden="false" outlineLevel="0" max="7" min="6" style="0" width="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2</v>
      </c>
      <c r="C2" s="4" t="n">
        <v>38</v>
      </c>
      <c r="D2" s="5" t="n">
        <f aca="false">B2*C2</f>
        <v>76</v>
      </c>
      <c r="E2" s="2" t="s">
        <v>8</v>
      </c>
      <c r="F2" s="2" t="n">
        <f aca="false">COUNTIF('Bar Plan'!$C$2:$C$18,A2)</f>
        <v>2</v>
      </c>
      <c r="G2" s="2" t="str">
        <f aca="false">IF(F2=B2,"OK","CHECK")</f>
        <v>OK</v>
      </c>
    </row>
    <row r="3" customFormat="false" ht="15" hidden="false" customHeight="false" outlineLevel="0" collapsed="false">
      <c r="A3" s="2" t="s">
        <v>9</v>
      </c>
      <c r="B3" s="3" t="n">
        <v>2</v>
      </c>
      <c r="C3" s="4" t="n">
        <v>36.5</v>
      </c>
      <c r="D3" s="5" t="n">
        <f aca="false">B3*C3</f>
        <v>73</v>
      </c>
      <c r="E3" s="2" t="s">
        <v>10</v>
      </c>
      <c r="F3" s="2" t="n">
        <f aca="false">COUNTIF('Bar Plan'!$C$2:$C$18,A3)</f>
        <v>2</v>
      </c>
      <c r="G3" s="2" t="str">
        <f aca="false">IF(F3=B3,"OK","CHECK")</f>
        <v>OK</v>
      </c>
    </row>
    <row r="4" customFormat="false" ht="15" hidden="false" customHeight="false" outlineLevel="0" collapsed="false">
      <c r="A4" s="2" t="s">
        <v>11</v>
      </c>
      <c r="B4" s="3" t="n">
        <v>7</v>
      </c>
      <c r="C4" s="4" t="n">
        <v>23</v>
      </c>
      <c r="D4" s="5" t="n">
        <f aca="false">B4*C4</f>
        <v>161</v>
      </c>
      <c r="E4" s="2" t="s">
        <v>12</v>
      </c>
      <c r="F4" s="2" t="n">
        <f aca="false">COUNTIF('Bar Plan'!$C$2:$C$18,A4)</f>
        <v>7</v>
      </c>
      <c r="G4" s="2" t="str">
        <f aca="false">IF(F4=B4,"OK","CHECK")</f>
        <v>OK</v>
      </c>
    </row>
    <row r="5" customFormat="false" ht="15" hidden="false" customHeight="false" outlineLevel="0" collapsed="false">
      <c r="A5" s="2" t="s">
        <v>13</v>
      </c>
      <c r="B5" s="3" t="n">
        <v>2</v>
      </c>
      <c r="C5" s="4" t="n">
        <v>30.5</v>
      </c>
      <c r="D5" s="5" t="n">
        <f aca="false">B5*C5</f>
        <v>61</v>
      </c>
      <c r="E5" s="2" t="s">
        <v>14</v>
      </c>
      <c r="F5" s="2" t="n">
        <f aca="false">COUNTIF('Bar Plan'!$C$2:$C$18,A5)</f>
        <v>2</v>
      </c>
      <c r="G5" s="2" t="str">
        <f aca="false">IF(F5=B5,"OK","CHECK")</f>
        <v>OK</v>
      </c>
    </row>
    <row r="6" customFormat="false" ht="15" hidden="false" customHeight="false" outlineLevel="0" collapsed="false">
      <c r="A6" s="2" t="s">
        <v>15</v>
      </c>
      <c r="B6" s="3" t="n">
        <v>4</v>
      </c>
      <c r="C6" s="4" t="n">
        <v>21</v>
      </c>
      <c r="D6" s="5" t="n">
        <f aca="false">B6*C6</f>
        <v>84</v>
      </c>
      <c r="E6" s="2" t="s">
        <v>16</v>
      </c>
      <c r="F6" s="2" t="n">
        <f aca="false">COUNTIF('Bar Plan'!$C$2:$C$18,A6)</f>
        <v>4</v>
      </c>
      <c r="G6" s="2" t="str">
        <f aca="false">IF(F6=B6,"OK","CHECK")</f>
        <v>OK</v>
      </c>
    </row>
    <row r="7" customFormat="false" ht="15" hidden="false" customHeight="false" outlineLevel="0" collapsed="false">
      <c r="A7" s="6" t="s">
        <v>17</v>
      </c>
      <c r="B7" s="6" t="n">
        <f aca="false">SUM(B2:B6)</f>
        <v>17</v>
      </c>
      <c r="D7" s="7" t="n">
        <f aca="false">SUM(D2:D6)</f>
        <v>455</v>
      </c>
      <c r="F7" s="6" t="n">
        <f aca="false">SUM(F2:F6)</f>
        <v>17</v>
      </c>
    </row>
    <row r="9" customFormat="false" ht="15" hidden="false" customHeight="false" outlineLevel="0" collapsed="false">
      <c r="A9" s="8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3" min="3" style="0" width="48"/>
  </cols>
  <sheetData>
    <row r="1" customFormat="false" ht="16.15" hidden="false" customHeight="false" outlineLevel="0" collapsed="false">
      <c r="A1" s="9" t="s">
        <v>19</v>
      </c>
    </row>
    <row r="2" customFormat="false" ht="15" hidden="false" customHeight="false" outlineLevel="0" collapsed="false">
      <c r="A2" s="8" t="s">
        <v>20</v>
      </c>
    </row>
    <row r="4" customFormat="false" ht="15" hidden="false" customHeight="false" outlineLevel="0" collapsed="false">
      <c r="A4" s="10" t="s">
        <v>21</v>
      </c>
      <c r="B4" s="11" t="n">
        <v>120</v>
      </c>
      <c r="C4" s="8" t="s">
        <v>22</v>
      </c>
    </row>
    <row r="5" customFormat="false" ht="15" hidden="false" customHeight="false" outlineLevel="0" collapsed="false">
      <c r="A5" s="10" t="s">
        <v>23</v>
      </c>
      <c r="B5" s="11" t="n">
        <v>0.125</v>
      </c>
      <c r="C5" s="8" t="s">
        <v>24</v>
      </c>
    </row>
    <row r="6" customFormat="false" ht="15" hidden="false" customHeight="false" outlineLevel="0" collapsed="false">
      <c r="A6" s="10" t="s">
        <v>25</v>
      </c>
      <c r="B6" s="11" t="n">
        <v>0.5</v>
      </c>
      <c r="C6" s="8" t="s">
        <v>26</v>
      </c>
    </row>
    <row r="7" customFormat="false" ht="15" hidden="false" customHeight="false" outlineLevel="0" collapsed="false">
      <c r="A7" s="10" t="s">
        <v>27</v>
      </c>
      <c r="B7" s="12" t="s">
        <v>28</v>
      </c>
      <c r="C7" s="8"/>
    </row>
    <row r="9" customFormat="false" ht="15" hidden="false" customHeight="false" outlineLevel="0" collapsed="false">
      <c r="A9" s="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7" min="6" style="0" width="8"/>
    <col collapsed="false" customWidth="true" hidden="false" outlineLevel="0" max="8" min="8" style="0" width="13"/>
    <col collapsed="false" customWidth="true" hidden="false" outlineLevel="0" max="11" min="9" style="0" width="10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" t="s">
        <v>30</v>
      </c>
      <c r="B1" s="1" t="s">
        <v>31</v>
      </c>
      <c r="C1" s="1" t="s">
        <v>0</v>
      </c>
      <c r="D1" s="1" t="s">
        <v>2</v>
      </c>
      <c r="F1" s="13" t="s">
        <v>30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</row>
    <row r="2" customFormat="false" ht="15" hidden="false" customHeight="false" outlineLevel="0" collapsed="false">
      <c r="A2" s="3" t="n">
        <v>1</v>
      </c>
      <c r="B2" s="2" t="n">
        <v>1</v>
      </c>
      <c r="C2" s="3" t="s">
        <v>7</v>
      </c>
      <c r="D2" s="5" t="n">
        <f aca="false">INDEX(Parts!$C$2:$C$6,MATCH(C2,Parts!$A$2:$A$6,0))</f>
        <v>38</v>
      </c>
      <c r="F2" s="2" t="n">
        <v>1</v>
      </c>
      <c r="G2" s="2" t="n">
        <f aca="false">COUNTIF($A$2:$A$18,F2)</f>
        <v>3</v>
      </c>
      <c r="H2" s="5" t="n">
        <f aca="false">SUMIF($A$2:$A$18,F2,$D$2:$D$18)</f>
        <v>112.5</v>
      </c>
      <c r="I2" s="5" t="n">
        <f aca="false">(G2-1)*Assumptions!$B$5</f>
        <v>0.25</v>
      </c>
      <c r="J2" s="5" t="n">
        <f aca="false">H2+I2</f>
        <v>112.75</v>
      </c>
      <c r="K2" s="5" t="n">
        <f aca="false">Assumptions!$B$4-J2</f>
        <v>7.25</v>
      </c>
      <c r="L2" s="5" t="n">
        <f aca="false">K2-Assumptions!$B$6</f>
        <v>6.75</v>
      </c>
      <c r="M2" s="2" t="str">
        <f aca="false">IF(L2&gt;=0,"OK","TOO LONG")</f>
        <v>OK</v>
      </c>
    </row>
    <row r="3" customFormat="false" ht="15" hidden="false" customHeight="false" outlineLevel="0" collapsed="false">
      <c r="A3" s="3" t="n">
        <v>1</v>
      </c>
      <c r="B3" s="2" t="n">
        <v>2</v>
      </c>
      <c r="C3" s="3" t="s">
        <v>7</v>
      </c>
      <c r="D3" s="5" t="n">
        <f aca="false">INDEX(Parts!$C$2:$C$6,MATCH(C3,Parts!$A$2:$A$6,0))</f>
        <v>38</v>
      </c>
      <c r="F3" s="2" t="n">
        <v>2</v>
      </c>
      <c r="G3" s="2" t="n">
        <f aca="false">COUNTIF($A$2:$A$18,F3)</f>
        <v>4</v>
      </c>
      <c r="H3" s="5" t="n">
        <f aca="false">SUMIF($A$2:$A$18,F3,$D$2:$D$18)</f>
        <v>118.5</v>
      </c>
      <c r="I3" s="5" t="n">
        <f aca="false">(G3-1)*Assumptions!$B$5</f>
        <v>0.375</v>
      </c>
      <c r="J3" s="5" t="n">
        <f aca="false">H3+I3</f>
        <v>118.875</v>
      </c>
      <c r="K3" s="5" t="n">
        <f aca="false">Assumptions!$B$4-J3</f>
        <v>1.125</v>
      </c>
      <c r="L3" s="5" t="n">
        <f aca="false">K3-Assumptions!$B$6</f>
        <v>0.625</v>
      </c>
      <c r="M3" s="2" t="str">
        <f aca="false">IF(L3&gt;=0,"OK","TOO LONG")</f>
        <v>OK</v>
      </c>
    </row>
    <row r="4" customFormat="false" ht="15" hidden="false" customHeight="false" outlineLevel="0" collapsed="false">
      <c r="A4" s="3" t="n">
        <v>1</v>
      </c>
      <c r="B4" s="2" t="n">
        <v>3</v>
      </c>
      <c r="C4" s="3" t="s">
        <v>9</v>
      </c>
      <c r="D4" s="5" t="n">
        <f aca="false">INDEX(Parts!$C$2:$C$6,MATCH(C4,Parts!$A$2:$A$6,0))</f>
        <v>36.5</v>
      </c>
      <c r="F4" s="2" t="n">
        <v>3</v>
      </c>
      <c r="G4" s="2" t="n">
        <f aca="false">COUNTIF($A$2:$A$18,F4)</f>
        <v>5</v>
      </c>
      <c r="H4" s="5" t="n">
        <f aca="false">SUMIF($A$2:$A$18,F4,$D$2:$D$18)</f>
        <v>115</v>
      </c>
      <c r="I4" s="5" t="n">
        <f aca="false">(G4-1)*Assumptions!$B$5</f>
        <v>0.5</v>
      </c>
      <c r="J4" s="5" t="n">
        <f aca="false">H4+I4</f>
        <v>115.5</v>
      </c>
      <c r="K4" s="5" t="n">
        <f aca="false">Assumptions!$B$4-J4</f>
        <v>4.5</v>
      </c>
      <c r="L4" s="5" t="n">
        <f aca="false">K4-Assumptions!$B$6</f>
        <v>4</v>
      </c>
      <c r="M4" s="2" t="str">
        <f aca="false">IF(L4&gt;=0,"OK","TOO LONG")</f>
        <v>OK</v>
      </c>
    </row>
    <row r="5" customFormat="false" ht="15" hidden="false" customHeight="false" outlineLevel="0" collapsed="false">
      <c r="A5" s="3" t="n">
        <v>2</v>
      </c>
      <c r="B5" s="2" t="n">
        <v>1</v>
      </c>
      <c r="C5" s="3" t="s">
        <v>9</v>
      </c>
      <c r="D5" s="5" t="n">
        <f aca="false">INDEX(Parts!$C$2:$C$6,MATCH(C5,Parts!$A$2:$A$6,0))</f>
        <v>36.5</v>
      </c>
      <c r="F5" s="2" t="n">
        <v>4</v>
      </c>
      <c r="G5" s="2" t="n">
        <f aca="false">COUNTIF($A$2:$A$18,F5)</f>
        <v>5</v>
      </c>
      <c r="H5" s="5" t="n">
        <f aca="false">SUMIF($A$2:$A$18,F5,$D$2:$D$18)</f>
        <v>109</v>
      </c>
      <c r="I5" s="5" t="n">
        <f aca="false">(G5-1)*Assumptions!$B$5</f>
        <v>0.5</v>
      </c>
      <c r="J5" s="5" t="n">
        <f aca="false">H5+I5</f>
        <v>109.5</v>
      </c>
      <c r="K5" s="5" t="n">
        <f aca="false">Assumptions!$B$4-J5</f>
        <v>10.5</v>
      </c>
      <c r="L5" s="5" t="n">
        <f aca="false">K5-Assumptions!$B$6</f>
        <v>10</v>
      </c>
      <c r="M5" s="2" t="str">
        <f aca="false">IF(L5&gt;=0,"OK","TOO LONG")</f>
        <v>OK</v>
      </c>
    </row>
    <row r="6" customFormat="false" ht="15" hidden="false" customHeight="false" outlineLevel="0" collapsed="false">
      <c r="A6" s="3" t="n">
        <v>2</v>
      </c>
      <c r="B6" s="2" t="n">
        <v>2</v>
      </c>
      <c r="C6" s="3" t="s">
        <v>13</v>
      </c>
      <c r="D6" s="5" t="n">
        <f aca="false">INDEX(Parts!$C$2:$C$6,MATCH(C6,Parts!$A$2:$A$6,0))</f>
        <v>30.5</v>
      </c>
      <c r="F6" s="6" t="s">
        <v>17</v>
      </c>
      <c r="G6" s="14" t="n">
        <f aca="false">SUM(G2:G5)</f>
        <v>17</v>
      </c>
      <c r="H6" s="7" t="n">
        <f aca="false">SUM(H2:H5)</f>
        <v>455</v>
      </c>
      <c r="K6" s="7" t="n">
        <f aca="false">SUM(K2:K5)</f>
        <v>23.375</v>
      </c>
    </row>
    <row r="7" customFormat="false" ht="15" hidden="false" customHeight="false" outlineLevel="0" collapsed="false">
      <c r="A7" s="3" t="n">
        <v>2</v>
      </c>
      <c r="B7" s="2" t="n">
        <v>3</v>
      </c>
      <c r="C7" s="3" t="s">
        <v>13</v>
      </c>
      <c r="D7" s="5" t="n">
        <f aca="false">INDEX(Parts!$C$2:$C$6,MATCH(C7,Parts!$A$2:$A$6,0))</f>
        <v>30.5</v>
      </c>
    </row>
    <row r="8" customFormat="false" ht="15" hidden="false" customHeight="false" outlineLevel="0" collapsed="false">
      <c r="A8" s="3" t="n">
        <v>2</v>
      </c>
      <c r="B8" s="2" t="n">
        <v>4</v>
      </c>
      <c r="C8" s="3" t="s">
        <v>15</v>
      </c>
      <c r="D8" s="5" t="n">
        <f aca="false">INDEX(Parts!$C$2:$C$6,MATCH(C8,Parts!$A$2:$A$6,0))</f>
        <v>21</v>
      </c>
      <c r="F8" s="10" t="s">
        <v>39</v>
      </c>
      <c r="G8" s="10" t="n">
        <f aca="false">COUNT(F2:F5)</f>
        <v>4</v>
      </c>
    </row>
    <row r="9" customFormat="false" ht="15" hidden="false" customHeight="false" outlineLevel="0" collapsed="false">
      <c r="A9" s="3" t="n">
        <v>3</v>
      </c>
      <c r="B9" s="2" t="n">
        <v>1</v>
      </c>
      <c r="C9" s="3" t="s">
        <v>11</v>
      </c>
      <c r="D9" s="5" t="n">
        <f aca="false">INDEX(Parts!$C$2:$C$6,MATCH(C9,Parts!$A$2:$A$6,0))</f>
        <v>23</v>
      </c>
      <c r="F9" s="10" t="s">
        <v>40</v>
      </c>
      <c r="G9" s="15" t="n">
        <f aca="false">H6/(G8*Assumptions!B4)</f>
        <v>0.947916666666667</v>
      </c>
    </row>
    <row r="10" customFormat="false" ht="15" hidden="false" customHeight="false" outlineLevel="0" collapsed="false">
      <c r="A10" s="3" t="n">
        <v>3</v>
      </c>
      <c r="B10" s="2" t="n">
        <v>2</v>
      </c>
      <c r="C10" s="3" t="s">
        <v>11</v>
      </c>
      <c r="D10" s="5" t="n">
        <f aca="false">INDEX(Parts!$C$2:$C$6,MATCH(C10,Parts!$A$2:$A$6,0))</f>
        <v>23</v>
      </c>
    </row>
    <row r="11" customFormat="false" ht="15" hidden="false" customHeight="false" outlineLevel="0" collapsed="false">
      <c r="A11" s="3" t="n">
        <v>3</v>
      </c>
      <c r="B11" s="2" t="n">
        <v>3</v>
      </c>
      <c r="C11" s="3" t="s">
        <v>11</v>
      </c>
      <c r="D11" s="5" t="n">
        <f aca="false">INDEX(Parts!$C$2:$C$6,MATCH(C11,Parts!$A$2:$A$6,0))</f>
        <v>23</v>
      </c>
      <c r="F11" s="8" t="s">
        <v>41</v>
      </c>
    </row>
    <row r="12" customFormat="false" ht="15" hidden="false" customHeight="false" outlineLevel="0" collapsed="false">
      <c r="A12" s="3" t="n">
        <v>3</v>
      </c>
      <c r="B12" s="2" t="n">
        <v>4</v>
      </c>
      <c r="C12" s="3" t="s">
        <v>11</v>
      </c>
      <c r="D12" s="5" t="n">
        <f aca="false">INDEX(Parts!$C$2:$C$6,MATCH(C12,Parts!$A$2:$A$6,0))</f>
        <v>23</v>
      </c>
    </row>
    <row r="13" customFormat="false" ht="15" hidden="false" customHeight="false" outlineLevel="0" collapsed="false">
      <c r="A13" s="3" t="n">
        <v>3</v>
      </c>
      <c r="B13" s="2" t="n">
        <v>5</v>
      </c>
      <c r="C13" s="3" t="s">
        <v>11</v>
      </c>
      <c r="D13" s="5" t="n">
        <f aca="false">INDEX(Parts!$C$2:$C$6,MATCH(C13,Parts!$A$2:$A$6,0))</f>
        <v>23</v>
      </c>
    </row>
    <row r="14" customFormat="false" ht="15" hidden="false" customHeight="false" outlineLevel="0" collapsed="false">
      <c r="A14" s="3" t="n">
        <v>4</v>
      </c>
      <c r="B14" s="2" t="n">
        <v>1</v>
      </c>
      <c r="C14" s="3" t="s">
        <v>11</v>
      </c>
      <c r="D14" s="5" t="n">
        <f aca="false">INDEX(Parts!$C$2:$C$6,MATCH(C14,Parts!$A$2:$A$6,0))</f>
        <v>23</v>
      </c>
    </row>
    <row r="15" customFormat="false" ht="15" hidden="false" customHeight="false" outlineLevel="0" collapsed="false">
      <c r="A15" s="3" t="n">
        <v>4</v>
      </c>
      <c r="B15" s="2" t="n">
        <v>2</v>
      </c>
      <c r="C15" s="3" t="s">
        <v>11</v>
      </c>
      <c r="D15" s="5" t="n">
        <f aca="false">INDEX(Parts!$C$2:$C$6,MATCH(C15,Parts!$A$2:$A$6,0))</f>
        <v>23</v>
      </c>
    </row>
    <row r="16" customFormat="false" ht="15" hidden="false" customHeight="false" outlineLevel="0" collapsed="false">
      <c r="A16" s="3" t="n">
        <v>4</v>
      </c>
      <c r="B16" s="2" t="n">
        <v>3</v>
      </c>
      <c r="C16" s="3" t="s">
        <v>15</v>
      </c>
      <c r="D16" s="5" t="n">
        <f aca="false">INDEX(Parts!$C$2:$C$6,MATCH(C16,Parts!$A$2:$A$6,0))</f>
        <v>21</v>
      </c>
    </row>
    <row r="17" customFormat="false" ht="15" hidden="false" customHeight="false" outlineLevel="0" collapsed="false">
      <c r="A17" s="3" t="n">
        <v>4</v>
      </c>
      <c r="B17" s="2" t="n">
        <v>4</v>
      </c>
      <c r="C17" s="3" t="s">
        <v>15</v>
      </c>
      <c r="D17" s="5" t="n">
        <f aca="false">INDEX(Parts!$C$2:$C$6,MATCH(C17,Parts!$A$2:$A$6,0))</f>
        <v>21</v>
      </c>
    </row>
    <row r="18" customFormat="false" ht="15" hidden="false" customHeight="false" outlineLevel="0" collapsed="false">
      <c r="A18" s="3" t="n">
        <v>4</v>
      </c>
      <c r="B18" s="2" t="n">
        <v>5</v>
      </c>
      <c r="C18" s="3" t="s">
        <v>15</v>
      </c>
      <c r="D18" s="5" t="n">
        <f aca="false">INDEX(Parts!$C$2:$C$6,MATCH(C18,Parts!$A$2:$A$6,0))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2026-10-18T13:13:47Z</dcterms:created>
  <dc:creator>openpyxl</dc:creator>
  <dc:description/>
  <dc:language>en-US</dc:language>
  <cp:lastModifiedBy/>
  <dcterms:modified xsi:type="dcterms:W3CDTF">2026-10-18T13:13:47Z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